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FF2AD9A-454C-4634-ACA9-C7025D8BF090}" xr6:coauthVersionLast="47" xr6:coauthVersionMax="47" xr10:uidLastSave="{00000000-0000-0000-0000-000000000000}"/>
  <bookViews>
    <workbookView xWindow="-108" yWindow="-108" windowWidth="23256" windowHeight="12456" tabRatio="821" firstSheet="2" activeTab="8" xr2:uid="{D8969B14-6C0E-407A-950F-804B3CFBF75F}"/>
  </bookViews>
  <sheets>
    <sheet name="Category spent" sheetId="5" r:id="rId1"/>
    <sheet name="segment spent" sheetId="9" r:id="rId2"/>
    <sheet name="Dates sales" sheetId="11" r:id="rId3"/>
    <sheet name="impact of dis on profit" sheetId="12" r:id="rId4"/>
    <sheet name="Low performing products" sheetId="14" r:id="rId5"/>
    <sheet name="Retention" sheetId="15" r:id="rId6"/>
    <sheet name="Sheet1" sheetId="16" r:id="rId7"/>
    <sheet name="orders" sheetId="1" r:id="rId8"/>
    <sheet name="Customers" sheetId="6" r:id="rId9"/>
    <sheet name="Website data" sheetId="10" r:id="rId10"/>
  </sheet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10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  <c r="L5" i="1"/>
  <c r="L6" i="1"/>
  <c r="L7" i="1"/>
  <c r="L8" i="1"/>
  <c r="L4" i="1"/>
  <c r="S3" i="1"/>
  <c r="F4" i="10"/>
  <c r="F5" i="10"/>
  <c r="F6" i="10"/>
  <c r="F7" i="10"/>
  <c r="F3" i="10"/>
  <c r="K5" i="1"/>
  <c r="K6" i="1"/>
  <c r="K7" i="1"/>
  <c r="K8" i="1"/>
  <c r="K4" i="1"/>
  <c r="S5" i="1"/>
  <c r="S4" i="1"/>
  <c r="S6" i="1" l="1"/>
</calcChain>
</file>

<file path=xl/sharedStrings.xml><?xml version="1.0" encoding="utf-8"?>
<sst xmlns="http://schemas.openxmlformats.org/spreadsheetml/2006/main" count="113" uniqueCount="65">
  <si>
    <t>India</t>
  </si>
  <si>
    <t>Accessories</t>
  </si>
  <si>
    <t>Watch</t>
  </si>
  <si>
    <t>CUST04</t>
  </si>
  <si>
    <t>ORD005</t>
  </si>
  <si>
    <t>Electronics</t>
  </si>
  <si>
    <t>Laptop</t>
  </si>
  <si>
    <t>CUST01</t>
  </si>
  <si>
    <t>ORD004</t>
  </si>
  <si>
    <t>Fashion</t>
  </si>
  <si>
    <t>T-shirt</t>
  </si>
  <si>
    <t>CUST03</t>
  </si>
  <si>
    <t>ORD003</t>
  </si>
  <si>
    <t>Phones</t>
  </si>
  <si>
    <t>CUST02</t>
  </si>
  <si>
    <t>ORD002</t>
  </si>
  <si>
    <t>Shoes</t>
  </si>
  <si>
    <t>ORD001</t>
  </si>
  <si>
    <t>Profit</t>
  </si>
  <si>
    <t>Discount (%)</t>
  </si>
  <si>
    <t>Quantity</t>
  </si>
  <si>
    <t>Sales</t>
  </si>
  <si>
    <t>Region</t>
  </si>
  <si>
    <t>Category</t>
  </si>
  <si>
    <t>Product</t>
  </si>
  <si>
    <t>Customer_ID</t>
  </si>
  <si>
    <t>Order_Date</t>
  </si>
  <si>
    <t>Order_ID</t>
  </si>
  <si>
    <t>Metric</t>
  </si>
  <si>
    <t>Value</t>
  </si>
  <si>
    <t>Total Sales</t>
  </si>
  <si>
    <t>Total Profit</t>
  </si>
  <si>
    <t>Total Orders</t>
  </si>
  <si>
    <t>Avg order Value</t>
  </si>
  <si>
    <t>Row Labels</t>
  </si>
  <si>
    <t>(blank)</t>
  </si>
  <si>
    <t>Grand Total</t>
  </si>
  <si>
    <t>Sum of Sales</t>
  </si>
  <si>
    <t>Segment</t>
  </si>
  <si>
    <t>Join_Date</t>
  </si>
  <si>
    <t>City</t>
  </si>
  <si>
    <t>Delhi</t>
  </si>
  <si>
    <t>Mumbai</t>
  </si>
  <si>
    <t>Mangalore</t>
  </si>
  <si>
    <t>Premium</t>
  </si>
  <si>
    <t>Regular</t>
  </si>
  <si>
    <t>Date</t>
  </si>
  <si>
    <t>Visitors</t>
  </si>
  <si>
    <t>Page_Views</t>
  </si>
  <si>
    <t>Bounce_Rate</t>
  </si>
  <si>
    <t>Conversions</t>
  </si>
  <si>
    <t>Conversions_rate</t>
  </si>
  <si>
    <t>Order dates</t>
  </si>
  <si>
    <t>Highest sales</t>
  </si>
  <si>
    <t>Profit (%)</t>
  </si>
  <si>
    <t>Average of Profit (%)</t>
  </si>
  <si>
    <t>As discount increases from 5% to 20%, avg profit margins increases indicating that aggressive discounting is inceasing profitability.</t>
  </si>
  <si>
    <t>Sum of Profit</t>
  </si>
  <si>
    <t>High revenue but low margin → needs pricing or cost optimization</t>
  </si>
  <si>
    <t>Balanced performance</t>
  </si>
  <si>
    <t>Good margin but low demand → opportunity to increase marketing</t>
  </si>
  <si>
    <t>N/A</t>
  </si>
  <si>
    <t>Count of Order_ID</t>
  </si>
  <si>
    <t>Repeat customer</t>
  </si>
  <si>
    <t>Retention_rate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</si>
</sst>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62577175926" createdVersion="8" refreshedVersion="8" minRefreshableVersion="3" recordCount="6" xr:uid="{4CAE779F-1672-4FD4-8E50-4D5064717A14}">
  <cacheSource type="worksheet">
    <worksheetSource ref="A2:J8" sheet="orders"/>
  </cacheSource>
  <cacheFields count="10">
    <cacheField name="Order_ID" numFmtId="0">
      <sharedItems containsBlank="1" count="6">
        <m/>
        <s v="ORD001"/>
        <s v="ORD002"/>
        <s v="ORD003"/>
        <s v="ORD004"/>
        <s v="ORD005"/>
      </sharedItems>
    </cacheField>
    <cacheField name="Order_Date" numFmtId="0">
      <sharedItems containsNonDate="0" containsDate="1" containsString="0" containsBlank="1" minDate="2024-01-01T00:00:00" maxDate="2024-01-06T00:00:00"/>
    </cacheField>
    <cacheField name="Customer_ID" numFmtId="0">
      <sharedItems containsBlank="1"/>
    </cacheField>
    <cacheField name="Product" numFmtId="0">
      <sharedItems containsBlank="1"/>
    </cacheField>
    <cacheField name="Category" numFmtId="0">
      <sharedItems containsBlank="1" count="4">
        <m/>
        <s v="Fashion"/>
        <s v="Electronics"/>
        <s v="Accessories"/>
      </sharedItems>
    </cacheField>
    <cacheField name="Region" numFmtId="0">
      <sharedItems containsBlank="1"/>
    </cacheField>
    <cacheField name="Sales" numFmtId="0">
      <sharedItems containsString="0" containsBlank="1" containsNumber="1" containsInteger="1" minValue="800" maxValue="50000" count="6">
        <m/>
        <n v="2000"/>
        <n v="15000"/>
        <n v="800"/>
        <n v="50000"/>
        <n v="3000"/>
      </sharedItems>
    </cacheField>
    <cacheField name="Quantity" numFmtId="0">
      <sharedItems containsString="0" containsBlank="1" containsNumber="1" containsInteger="1" minValue="1" maxValue="2"/>
    </cacheField>
    <cacheField name="Discount (%)" numFmtId="0">
      <sharedItems containsString="0" containsBlank="1" containsNumber="1" containsInteger="1" minValue="5" maxValue="20"/>
    </cacheField>
    <cacheField name="Profit" numFmtId="0">
      <sharedItems containsString="0" containsBlank="1" containsNumber="1" containsInteger="1" minValue="2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872596412039" createdVersion="8" refreshedVersion="8" minRefreshableVersion="3" recordCount="6" xr:uid="{BE62C826-5431-43E4-A86C-96814AD7D264}">
  <cacheSource type="worksheet">
    <worksheetSource ref="G2:K8" sheet="orders"/>
  </cacheSource>
  <cacheFields count="5">
    <cacheField name="Sales" numFmtId="0">
      <sharedItems containsString="0" containsBlank="1" containsNumber="1" containsInteger="1" minValue="800" maxValue="50000"/>
    </cacheField>
    <cacheField name="Quantity" numFmtId="0">
      <sharedItems containsString="0" containsBlank="1" containsNumber="1" containsInteger="1" minValue="1" maxValue="2"/>
    </cacheField>
    <cacheField name="Discount (%)" numFmtId="0">
      <sharedItems containsString="0" containsBlank="1" containsNumber="1" containsInteger="1" minValue="5" maxValue="20"/>
    </cacheField>
    <cacheField name="Profit" numFmtId="0">
      <sharedItems containsString="0" containsBlank="1" containsNumber="1" containsInteger="1" minValue="200" maxValue="8000"/>
    </cacheField>
    <cacheField name="Segment" numFmtId="0">
      <sharedItems containsBlank="1" count="3">
        <m/>
        <s v="Premium"/>
        <s v="Regul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882246643516" createdVersion="8" refreshedVersion="8" minRefreshableVersion="3" recordCount="6" xr:uid="{E3F11E61-49E9-45F5-845F-DC90877C435D}">
  <cacheSource type="worksheet">
    <worksheetSource ref="B2:G8" sheet="orders"/>
  </cacheSource>
  <cacheFields count="6">
    <cacheField name="Order_Date" numFmtId="0">
      <sharedItems containsNonDate="0" containsDate="1" containsString="0" containsBlank="1" minDate="2024-01-01T00:00:00" maxDate="2024-01-06T00:00:00" count="6">
        <m/>
        <d v="2024-01-01T00:00:00"/>
        <d v="2024-01-02T00:00:00"/>
        <d v="2024-01-03T00:00:00"/>
        <d v="2024-01-04T00:00:00"/>
        <d v="2024-01-05T00:00:00"/>
      </sharedItems>
    </cacheField>
    <cacheField name="Customer_ID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containsInteger="1" minValue="8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886512731478" createdVersion="8" refreshedVersion="8" minRefreshableVersion="3" recordCount="6" xr:uid="{E999F401-E505-452B-B8F7-86120E283C47}">
  <cacheSource type="worksheet">
    <worksheetSource ref="I2:L8" sheet="orders"/>
  </cacheSource>
  <cacheFields count="4">
    <cacheField name="Discount (%)" numFmtId="0">
      <sharedItems containsString="0" containsBlank="1" containsNumber="1" containsInteger="1" minValue="5" maxValue="20" count="5">
        <m/>
        <n v="10"/>
        <n v="5"/>
        <n v="15"/>
        <n v="20"/>
      </sharedItems>
    </cacheField>
    <cacheField name="Profit" numFmtId="0">
      <sharedItems containsString="0" containsBlank="1" containsNumber="1" containsInteger="1" minValue="200" maxValue="8000"/>
    </cacheField>
    <cacheField name="Segment" numFmtId="0">
      <sharedItems containsBlank="1"/>
    </cacheField>
    <cacheField name="Profit (%)" numFmtId="0">
      <sharedItems containsString="0" containsBlank="1" containsNumber="1" minValue="0.16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2.637910648147" createdVersion="8" refreshedVersion="8" minRefreshableVersion="3" recordCount="6" xr:uid="{6B861DC0-CA91-464E-9774-3FE986B0DFC5}">
  <cacheSource type="worksheet">
    <worksheetSource ref="C2:L8" sheet="orders"/>
  </cacheSource>
  <cacheFields count="10">
    <cacheField name="Customer_ID" numFmtId="0">
      <sharedItems containsBlank="1"/>
    </cacheField>
    <cacheField name="Product" numFmtId="0">
      <sharedItems containsBlank="1" count="6">
        <m/>
        <s v="Shoes"/>
        <s v="Phones"/>
        <s v="T-shirt"/>
        <s v="Laptop"/>
        <s v="Watch"/>
      </sharedItems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containsInteger="1" minValue="800" maxValue="50000"/>
    </cacheField>
    <cacheField name="Quantity" numFmtId="0">
      <sharedItems containsString="0" containsBlank="1" containsNumber="1" containsInteger="1" minValue="1" maxValue="2"/>
    </cacheField>
    <cacheField name="Discount (%)" numFmtId="0">
      <sharedItems containsString="0" containsBlank="1" containsNumber="1" containsInteger="1" minValue="5" maxValue="20"/>
    </cacheField>
    <cacheField name="Profit" numFmtId="0">
      <sharedItems containsString="0" containsBlank="1" containsNumber="1" containsInteger="1" minValue="200" maxValue="8000"/>
    </cacheField>
    <cacheField name="Segment" numFmtId="0">
      <sharedItems containsBlank="1"/>
    </cacheField>
    <cacheField name="Profit (%)" numFmtId="0">
      <sharedItems containsString="0" containsBlank="1" containsNumber="1" minValue="0.16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2.648667245368" createdVersion="8" refreshedVersion="8" minRefreshableVersion="3" recordCount="6" xr:uid="{A52FD881-345A-4E46-ADF8-91A01F992FB2}">
  <cacheSource type="worksheet">
    <worksheetSource ref="A2:L8" sheet="orders"/>
  </cacheSource>
  <cacheFields count="12">
    <cacheField name="Order_ID" numFmtId="0">
      <sharedItems containsBlank="1" count="6">
        <m/>
        <s v="ORD001"/>
        <s v="ORD002"/>
        <s v="ORD003"/>
        <s v="ORD004"/>
        <s v="ORD005"/>
      </sharedItems>
    </cacheField>
    <cacheField name="Order_Date" numFmtId="0">
      <sharedItems containsNonDate="0" containsDate="1" containsString="0" containsBlank="1" minDate="2024-01-01T00:00:00" maxDate="2024-01-06T00:00:00"/>
    </cacheField>
    <cacheField name="Customer_ID" numFmtId="0">
      <sharedItems containsBlank="1" count="5">
        <m/>
        <s v="CUST01"/>
        <s v="CUST02"/>
        <s v="CUST03"/>
        <s v="CUST04"/>
      </sharedItems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containsInteger="1" minValue="800" maxValue="50000"/>
    </cacheField>
    <cacheField name="Quantity" numFmtId="0">
      <sharedItems containsString="0" containsBlank="1" containsNumber="1" containsInteger="1" minValue="1" maxValue="2"/>
    </cacheField>
    <cacheField name="Discount (%)" numFmtId="0">
      <sharedItems containsString="0" containsBlank="1" containsNumber="1" containsInteger="1" minValue="5" maxValue="20"/>
    </cacheField>
    <cacheField name="Profit" numFmtId="0">
      <sharedItems containsString="0" containsBlank="1" containsNumber="1" containsInteger="1" minValue="200" maxValue="8000"/>
    </cacheField>
    <cacheField name="Segment" numFmtId="0">
      <sharedItems containsBlank="1"/>
    </cacheField>
    <cacheField name="Profit (%)" numFmtId="0">
      <sharedItems containsString="0" containsBlank="1" containsNumber="1" minValue="0.16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m/>
    <m/>
    <m/>
    <x v="0"/>
    <m/>
    <x v="0"/>
    <m/>
    <m/>
    <m/>
  </r>
  <r>
    <x v="1"/>
    <d v="2024-01-01T00:00:00"/>
    <s v="CUST01"/>
    <s v="Shoes"/>
    <x v="1"/>
    <s v="India"/>
    <x v="1"/>
    <n v="2"/>
    <n v="10"/>
    <n v="400"/>
  </r>
  <r>
    <x v="2"/>
    <d v="2024-01-02T00:00:00"/>
    <s v="CUST02"/>
    <s v="Phones"/>
    <x v="2"/>
    <s v="India"/>
    <x v="2"/>
    <n v="1"/>
    <n v="5"/>
    <n v="3000"/>
  </r>
  <r>
    <x v="3"/>
    <d v="2024-01-03T00:00:00"/>
    <s v="CUST03"/>
    <s v="T-shirt"/>
    <x v="1"/>
    <s v="India"/>
    <x v="3"/>
    <n v="2"/>
    <n v="15"/>
    <n v="200"/>
  </r>
  <r>
    <x v="4"/>
    <d v="2024-01-04T00:00:00"/>
    <s v="CUST01"/>
    <s v="Laptop"/>
    <x v="2"/>
    <s v="India"/>
    <x v="4"/>
    <n v="1"/>
    <n v="10"/>
    <n v="8000"/>
  </r>
  <r>
    <x v="5"/>
    <d v="2024-01-05T00:00:00"/>
    <s v="CUST04"/>
    <s v="Watch"/>
    <x v="3"/>
    <s v="India"/>
    <x v="5"/>
    <n v="1"/>
    <n v="20"/>
    <n v="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x v="0"/>
  </r>
  <r>
    <n v="2000"/>
    <n v="2"/>
    <n v="10"/>
    <n v="400"/>
    <x v="1"/>
  </r>
  <r>
    <n v="15000"/>
    <n v="1"/>
    <n v="5"/>
    <n v="3000"/>
    <x v="2"/>
  </r>
  <r>
    <n v="800"/>
    <n v="2"/>
    <n v="15"/>
    <n v="200"/>
    <x v="2"/>
  </r>
  <r>
    <n v="50000"/>
    <n v="1"/>
    <n v="10"/>
    <n v="8000"/>
    <x v="1"/>
  </r>
  <r>
    <n v="3000"/>
    <n v="1"/>
    <n v="20"/>
    <n v="7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m/>
    <m/>
    <m/>
    <m/>
    <m/>
  </r>
  <r>
    <x v="1"/>
    <s v="CUST01"/>
    <s v="Shoes"/>
    <s v="Fashion"/>
    <s v="India"/>
    <n v="2000"/>
  </r>
  <r>
    <x v="2"/>
    <s v="CUST02"/>
    <s v="Phones"/>
    <s v="Electronics"/>
    <s v="India"/>
    <n v="15000"/>
  </r>
  <r>
    <x v="3"/>
    <s v="CUST03"/>
    <s v="T-shirt"/>
    <s v="Fashion"/>
    <s v="India"/>
    <n v="800"/>
  </r>
  <r>
    <x v="4"/>
    <s v="CUST01"/>
    <s v="Laptop"/>
    <s v="Electronics"/>
    <s v="India"/>
    <n v="50000"/>
  </r>
  <r>
    <x v="5"/>
    <s v="CUST04"/>
    <s v="Watch"/>
    <s v="Accessories"/>
    <s v="India"/>
    <n v="3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m/>
    <m/>
    <m/>
  </r>
  <r>
    <x v="1"/>
    <n v="400"/>
    <s v="Premium"/>
    <n v="0.2"/>
  </r>
  <r>
    <x v="2"/>
    <n v="3000"/>
    <s v="Regular"/>
    <n v="0.2"/>
  </r>
  <r>
    <x v="3"/>
    <n v="200"/>
    <s v="Regular"/>
    <n v="0.25"/>
  </r>
  <r>
    <x v="1"/>
    <n v="8000"/>
    <s v="Premium"/>
    <n v="0.16"/>
  </r>
  <r>
    <x v="4"/>
    <n v="700"/>
    <s v="Premium"/>
    <n v="0.2333333333333333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x v="0"/>
    <m/>
    <m/>
    <m/>
    <m/>
    <m/>
    <m/>
    <m/>
    <m/>
  </r>
  <r>
    <s v="CUST01"/>
    <x v="1"/>
    <s v="Fashion"/>
    <s v="India"/>
    <n v="2000"/>
    <n v="2"/>
    <n v="10"/>
    <n v="400"/>
    <s v="Premium"/>
    <n v="0.2"/>
  </r>
  <r>
    <s v="CUST02"/>
    <x v="2"/>
    <s v="Electronics"/>
    <s v="India"/>
    <n v="15000"/>
    <n v="1"/>
    <n v="5"/>
    <n v="3000"/>
    <s v="Regular"/>
    <n v="0.2"/>
  </r>
  <r>
    <s v="CUST03"/>
    <x v="3"/>
    <s v="Fashion"/>
    <s v="India"/>
    <n v="800"/>
    <n v="2"/>
    <n v="15"/>
    <n v="200"/>
    <s v="Regular"/>
    <n v="0.25"/>
  </r>
  <r>
    <s v="CUST01"/>
    <x v="4"/>
    <s v="Electronics"/>
    <s v="India"/>
    <n v="50000"/>
    <n v="1"/>
    <n v="10"/>
    <n v="8000"/>
    <s v="Premium"/>
    <n v="0.16"/>
  </r>
  <r>
    <s v="CUST04"/>
    <x v="5"/>
    <s v="Accessories"/>
    <s v="India"/>
    <n v="3000"/>
    <n v="1"/>
    <n v="20"/>
    <n v="700"/>
    <s v="Premium"/>
    <n v="0.2333333333333333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m/>
    <x v="0"/>
    <m/>
    <m/>
    <m/>
    <m/>
    <m/>
    <m/>
    <m/>
    <m/>
    <m/>
  </r>
  <r>
    <x v="1"/>
    <d v="2024-01-01T00:00:00"/>
    <x v="1"/>
    <s v="Shoes"/>
    <s v="Fashion"/>
    <s v="India"/>
    <n v="2000"/>
    <n v="2"/>
    <n v="10"/>
    <n v="400"/>
    <s v="Premium"/>
    <n v="0.2"/>
  </r>
  <r>
    <x v="2"/>
    <d v="2024-01-02T00:00:00"/>
    <x v="2"/>
    <s v="Phones"/>
    <s v="Electronics"/>
    <s v="India"/>
    <n v="15000"/>
    <n v="1"/>
    <n v="5"/>
    <n v="3000"/>
    <s v="Regular"/>
    <n v="0.2"/>
  </r>
  <r>
    <x v="3"/>
    <d v="2024-01-03T00:00:00"/>
    <x v="3"/>
    <s v="T-shirt"/>
    <s v="Fashion"/>
    <s v="India"/>
    <n v="800"/>
    <n v="2"/>
    <n v="15"/>
    <n v="200"/>
    <s v="Regular"/>
    <n v="0.25"/>
  </r>
  <r>
    <x v="4"/>
    <d v="2024-01-04T00:00:00"/>
    <x v="1"/>
    <s v="Laptop"/>
    <s v="Electronics"/>
    <s v="India"/>
    <n v="50000"/>
    <n v="1"/>
    <n v="10"/>
    <n v="8000"/>
    <s v="Premium"/>
    <n v="0.16"/>
  </r>
  <r>
    <x v="5"/>
    <d v="2024-01-05T00:00:00"/>
    <x v="4"/>
    <s v="Watch"/>
    <s v="Accessories"/>
    <s v="India"/>
    <n v="3000"/>
    <n v="1"/>
    <n v="20"/>
    <n v="700"/>
    <s v="Premium"/>
    <n v="0.23333333333333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4537D-26D8-4FEC-B20A-55FC9AF993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>
      <items count="7">
        <item x="1"/>
        <item x="2"/>
        <item x="3"/>
        <item x="4"/>
        <item x="5"/>
        <item x="0"/>
        <item t="default"/>
      </items>
    </pivotField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3A89E-53A1-4074-816C-2C6C3E920BF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formats count="2">
    <format dxfId="12">
      <pivotArea dataOnly="0" labelOnly="1" fieldPosition="0">
        <references count="1">
          <reference field="4" count="1">
            <x v="0"/>
          </reference>
        </references>
      </pivotArea>
    </format>
    <format dxfId="11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29932-B184-46EE-9099-A1F770DC9704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s">
  <location ref="A3:B10" firstHeaderRow="1" firstDataRow="1" firstDataCol="1"/>
  <pivotFields count="6">
    <pivotField axis="axisRow" showAll="0" sortType="de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 v="3"/>
    </i>
    <i>
      <x v="1"/>
    </i>
    <i>
      <x v="4"/>
    </i>
    <i>
      <x/>
    </i>
    <i>
      <x v="2"/>
    </i>
    <i>
      <x v="5"/>
    </i>
    <i t="grand">
      <x/>
    </i>
  </rowItems>
  <colItems count="1">
    <i/>
  </colItems>
  <dataFields count="1">
    <dataField name="Highest sales" fld="5" baseField="0" baseItem="3"/>
  </dataFields>
  <formats count="2">
    <format dxfId="10">
      <pivotArea dataOnly="0" labelOnly="1" fieldPosition="0">
        <references count="1">
          <reference field="0" count="1">
            <x v="3"/>
          </reference>
        </references>
      </pivotArea>
    </format>
    <format dxfId="9">
      <pivotArea collapsedLevelsAreSubtotals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7C0EE-15EB-4F9A-A920-D729B05BBA37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 (%)" fld="3" subtotal="average" baseField="0" baseItem="0"/>
  </dataFields>
  <formats count="4">
    <format dxfId="8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collapsedLevelsAreSubtotals="1" fieldPosition="0">
        <references count="1">
          <reference field="0" count="1">
            <x v="2"/>
          </reference>
        </references>
      </pivotArea>
    </format>
    <format dxfId="5">
      <pivotArea collapsedLevelsAreSubtotals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76C24-BFCF-4DCB-B893-81AA8D9644D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0">
    <pivotField showAll="0"/>
    <pivotField axis="axisRow" showAll="0" sortType="ascending">
      <items count="7">
        <item x="4"/>
        <item x="2"/>
        <item x="1"/>
        <item x="3"/>
        <item x="5"/>
        <item n="N/A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1"/>
  </rowFields>
  <rowItems count="7">
    <i>
      <x v="5"/>
    </i>
    <i>
      <x v="3"/>
    </i>
    <i>
      <x v="2"/>
    </i>
    <i>
      <x v="4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Sum of Profit" fld="7" baseField="0" baseItem="0"/>
    <dataField name="Average of Profit (%)" fld="9" subtotal="average" baseField="1" baseItem="5"/>
  </dataFields>
  <formats count="5">
    <format dxfId="4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005B7-6D3E-411A-94F0-DC1FFF868DB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dataField="1" showAll="0">
      <items count="7">
        <item x="1"/>
        <item x="2"/>
        <item x="3"/>
        <item x="4"/>
        <item x="5"/>
        <item x="0"/>
        <item t="default"/>
      </items>
    </pivotField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5BEC3-64B0-4E35-8E70-95117D0EC9F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6F4D-C1D1-4027-BF53-341D91DAC5F0}">
  <dimension ref="A3:B8"/>
  <sheetViews>
    <sheetView zoomScale="101" workbookViewId="0">
      <selection activeCell="A3" sqref="A3"/>
    </sheetView>
  </sheetViews>
  <sheetFormatPr defaultRowHeight="14.4" x14ac:dyDescent="0.3"/>
  <cols>
    <col min="1" max="1" width="20.88671875" customWidth="1"/>
    <col min="2" max="2" width="20.21875" customWidth="1"/>
    <col min="3" max="3" width="15.109375" bestFit="1" customWidth="1"/>
    <col min="4" max="4" width="7.44140625" bestFit="1" customWidth="1"/>
    <col min="5" max="5" width="7" bestFit="1" customWidth="1"/>
    <col min="6" max="6" width="10.77734375" bestFit="1" customWidth="1"/>
  </cols>
  <sheetData>
    <row r="3" spans="1:2" x14ac:dyDescent="0.3">
      <c r="A3" s="6" t="s">
        <v>34</v>
      </c>
      <c r="B3" t="s">
        <v>37</v>
      </c>
    </row>
    <row r="4" spans="1:2" x14ac:dyDescent="0.3">
      <c r="A4" s="7" t="s">
        <v>5</v>
      </c>
      <c r="B4">
        <v>65000</v>
      </c>
    </row>
    <row r="5" spans="1:2" x14ac:dyDescent="0.3">
      <c r="A5" s="7" t="s">
        <v>1</v>
      </c>
      <c r="B5">
        <v>3000</v>
      </c>
    </row>
    <row r="6" spans="1:2" x14ac:dyDescent="0.3">
      <c r="A6" s="7" t="s">
        <v>9</v>
      </c>
      <c r="B6">
        <v>2800</v>
      </c>
    </row>
    <row r="7" spans="1:2" x14ac:dyDescent="0.3">
      <c r="A7" s="7" t="s">
        <v>35</v>
      </c>
    </row>
    <row r="8" spans="1:2" x14ac:dyDescent="0.3">
      <c r="A8" s="7" t="s">
        <v>36</v>
      </c>
      <c r="B8">
        <v>70800</v>
      </c>
    </row>
  </sheetData>
  <sortState xmlns:xlrd2="http://schemas.microsoft.com/office/spreadsheetml/2017/richdata2" ref="A3:C10">
    <sortCondition descending="1"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EDBF-D578-400A-B1D4-5C1ABB3BB8B4}">
  <dimension ref="A3:B7"/>
  <sheetViews>
    <sheetView zoomScale="112" workbookViewId="0">
      <selection activeCell="B4" sqref="B4"/>
    </sheetView>
  </sheetViews>
  <sheetFormatPr defaultRowHeight="14.4" x14ac:dyDescent="0.3"/>
  <cols>
    <col min="1" max="1" width="25.6640625" customWidth="1"/>
    <col min="2" max="2" width="30.6640625" customWidth="1"/>
  </cols>
  <sheetData>
    <row r="3" spans="1:2" x14ac:dyDescent="0.3">
      <c r="A3" s="6" t="s">
        <v>34</v>
      </c>
      <c r="B3" t="s">
        <v>37</v>
      </c>
    </row>
    <row r="4" spans="1:2" x14ac:dyDescent="0.3">
      <c r="A4" s="12" t="s">
        <v>44</v>
      </c>
      <c r="B4" s="11">
        <v>55000</v>
      </c>
    </row>
    <row r="5" spans="1:2" x14ac:dyDescent="0.3">
      <c r="A5" s="7" t="s">
        <v>45</v>
      </c>
      <c r="B5">
        <v>15800</v>
      </c>
    </row>
    <row r="6" spans="1:2" x14ac:dyDescent="0.3">
      <c r="A6" s="7" t="s">
        <v>35</v>
      </c>
    </row>
    <row r="7" spans="1:2" x14ac:dyDescent="0.3">
      <c r="A7" s="7" t="s">
        <v>36</v>
      </c>
      <c r="B7">
        <v>70800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A741-0B84-40A0-AB87-D6745DF28B12}">
  <dimension ref="A3:B10"/>
  <sheetViews>
    <sheetView topLeftCell="A2" zoomScale="195" workbookViewId="0">
      <selection activeCell="D6" sqref="D6"/>
    </sheetView>
  </sheetViews>
  <sheetFormatPr defaultRowHeight="14.4" x14ac:dyDescent="0.3"/>
  <cols>
    <col min="1" max="1" width="13" bestFit="1" customWidth="1"/>
    <col min="2" max="2" width="11.6640625" bestFit="1" customWidth="1"/>
  </cols>
  <sheetData>
    <row r="3" spans="1:2" x14ac:dyDescent="0.3">
      <c r="A3" s="6" t="s">
        <v>52</v>
      </c>
      <c r="B3" t="s">
        <v>53</v>
      </c>
    </row>
    <row r="4" spans="1:2" x14ac:dyDescent="0.3">
      <c r="A4" s="10">
        <v>45295</v>
      </c>
      <c r="B4" s="11">
        <v>50000</v>
      </c>
    </row>
    <row r="5" spans="1:2" x14ac:dyDescent="0.3">
      <c r="A5" s="9">
        <v>45293</v>
      </c>
      <c r="B5">
        <v>15000</v>
      </c>
    </row>
    <row r="6" spans="1:2" x14ac:dyDescent="0.3">
      <c r="A6" s="9">
        <v>45296</v>
      </c>
      <c r="B6">
        <v>3000</v>
      </c>
    </row>
    <row r="7" spans="1:2" x14ac:dyDescent="0.3">
      <c r="A7" s="9">
        <v>45292</v>
      </c>
      <c r="B7">
        <v>2000</v>
      </c>
    </row>
    <row r="8" spans="1:2" x14ac:dyDescent="0.3">
      <c r="A8" s="9">
        <v>45294</v>
      </c>
      <c r="B8">
        <v>800</v>
      </c>
    </row>
    <row r="9" spans="1:2" x14ac:dyDescent="0.3">
      <c r="A9" s="7" t="s">
        <v>35</v>
      </c>
    </row>
    <row r="10" spans="1:2" x14ac:dyDescent="0.3">
      <c r="A10" s="7" t="s">
        <v>36</v>
      </c>
      <c r="B10">
        <v>70800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7045-E3CE-439B-879E-A3C20FBAF09E}">
  <dimension ref="A3:B1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6" t="s">
        <v>34</v>
      </c>
      <c r="B3" t="s">
        <v>55</v>
      </c>
    </row>
    <row r="4" spans="1:2" x14ac:dyDescent="0.3">
      <c r="A4" s="7">
        <v>5</v>
      </c>
      <c r="B4" s="8">
        <v>0.2</v>
      </c>
    </row>
    <row r="5" spans="1:2" x14ac:dyDescent="0.3">
      <c r="A5" s="7">
        <v>10</v>
      </c>
      <c r="B5" s="8">
        <v>0.18</v>
      </c>
    </row>
    <row r="6" spans="1:2" x14ac:dyDescent="0.3">
      <c r="A6" s="7">
        <v>15</v>
      </c>
      <c r="B6" s="8">
        <v>0.25</v>
      </c>
    </row>
    <row r="7" spans="1:2" x14ac:dyDescent="0.3">
      <c r="A7" s="7">
        <v>20</v>
      </c>
      <c r="B7" s="8">
        <v>0.23333333333333334</v>
      </c>
    </row>
    <row r="8" spans="1:2" x14ac:dyDescent="0.3">
      <c r="A8" s="7" t="s">
        <v>35</v>
      </c>
    </row>
    <row r="9" spans="1:2" x14ac:dyDescent="0.3">
      <c r="A9" s="7" t="s">
        <v>36</v>
      </c>
      <c r="B9">
        <v>0.20866666666666669</v>
      </c>
    </row>
    <row r="11" spans="1:2" x14ac:dyDescent="0.3">
      <c r="A1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B91C-49D8-4DF2-A613-AC0C0414BD19}">
  <dimension ref="A3:F10"/>
  <sheetViews>
    <sheetView topLeftCell="A2" zoomScale="139"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21875" bestFit="1" customWidth="1"/>
    <col min="4" max="4" width="18.88671875" bestFit="1" customWidth="1"/>
  </cols>
  <sheetData>
    <row r="3" spans="1:6" x14ac:dyDescent="0.3">
      <c r="A3" s="6" t="s">
        <v>34</v>
      </c>
      <c r="B3" t="s">
        <v>37</v>
      </c>
      <c r="C3" t="s">
        <v>57</v>
      </c>
      <c r="D3" t="s">
        <v>55</v>
      </c>
    </row>
    <row r="4" spans="1:6" x14ac:dyDescent="0.3">
      <c r="A4" s="7" t="s">
        <v>61</v>
      </c>
    </row>
    <row r="5" spans="1:6" x14ac:dyDescent="0.3">
      <c r="A5" s="7" t="s">
        <v>10</v>
      </c>
      <c r="B5">
        <v>800</v>
      </c>
      <c r="C5">
        <v>200</v>
      </c>
      <c r="D5" s="8">
        <v>0.25</v>
      </c>
      <c r="F5" t="s">
        <v>60</v>
      </c>
    </row>
    <row r="6" spans="1:6" x14ac:dyDescent="0.3">
      <c r="A6" s="7" t="s">
        <v>16</v>
      </c>
      <c r="B6">
        <v>2000</v>
      </c>
      <c r="C6">
        <v>400</v>
      </c>
      <c r="D6" s="8">
        <v>0.2</v>
      </c>
      <c r="F6" t="s">
        <v>59</v>
      </c>
    </row>
    <row r="7" spans="1:6" x14ac:dyDescent="0.3">
      <c r="A7" s="7" t="s">
        <v>2</v>
      </c>
      <c r="B7">
        <v>3000</v>
      </c>
      <c r="C7">
        <v>700</v>
      </c>
      <c r="D7" s="8">
        <v>0.23333333333333334</v>
      </c>
      <c r="F7" t="s">
        <v>59</v>
      </c>
    </row>
    <row r="8" spans="1:6" x14ac:dyDescent="0.3">
      <c r="A8" s="7" t="s">
        <v>13</v>
      </c>
      <c r="B8">
        <v>15000</v>
      </c>
      <c r="C8">
        <v>3000</v>
      </c>
      <c r="D8" s="8">
        <v>0.2</v>
      </c>
      <c r="F8" t="s">
        <v>59</v>
      </c>
    </row>
    <row r="9" spans="1:6" x14ac:dyDescent="0.3">
      <c r="A9" s="7" t="s">
        <v>6</v>
      </c>
      <c r="B9">
        <v>50000</v>
      </c>
      <c r="C9">
        <v>8000</v>
      </c>
      <c r="D9" s="8">
        <v>0.16</v>
      </c>
      <c r="F9" t="s">
        <v>58</v>
      </c>
    </row>
    <row r="10" spans="1:6" x14ac:dyDescent="0.3">
      <c r="A10" s="7" t="s">
        <v>36</v>
      </c>
      <c r="B10">
        <v>70800</v>
      </c>
      <c r="C10">
        <v>12300</v>
      </c>
      <c r="D10">
        <v>0.20866666666666669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F78B-96C0-4BD8-9D28-4B460BEEBE5D}">
  <dimension ref="A3:C9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3" x14ac:dyDescent="0.3">
      <c r="A3" s="6" t="s">
        <v>34</v>
      </c>
      <c r="B3" t="s">
        <v>62</v>
      </c>
    </row>
    <row r="4" spans="1:3" x14ac:dyDescent="0.3">
      <c r="A4" s="7" t="s">
        <v>7</v>
      </c>
      <c r="B4">
        <v>2</v>
      </c>
      <c r="C4" t="s">
        <v>63</v>
      </c>
    </row>
    <row r="5" spans="1:3" x14ac:dyDescent="0.3">
      <c r="A5" s="7" t="s">
        <v>14</v>
      </c>
      <c r="B5">
        <v>1</v>
      </c>
    </row>
    <row r="6" spans="1:3" x14ac:dyDescent="0.3">
      <c r="A6" s="7" t="s">
        <v>11</v>
      </c>
      <c r="B6">
        <v>1</v>
      </c>
    </row>
    <row r="7" spans="1:3" x14ac:dyDescent="0.3">
      <c r="A7" s="7" t="s">
        <v>3</v>
      </c>
      <c r="B7">
        <v>1</v>
      </c>
    </row>
    <row r="8" spans="1:3" x14ac:dyDescent="0.3">
      <c r="A8" s="7" t="s">
        <v>35</v>
      </c>
    </row>
    <row r="9" spans="1:3" x14ac:dyDescent="0.3">
      <c r="A9" s="7" t="s">
        <v>36</v>
      </c>
      <c r="B9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80D7-CFF6-43F5-8AA3-9C5BC8A580BA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3"/>
      <c r="B3" s="14"/>
      <c r="C3" s="15"/>
    </row>
    <row r="4" spans="1:3" x14ac:dyDescent="0.3">
      <c r="A4" s="16"/>
      <c r="B4" s="17"/>
      <c r="C4" s="18"/>
    </row>
    <row r="5" spans="1:3" x14ac:dyDescent="0.3">
      <c r="A5" s="16"/>
      <c r="B5" s="17"/>
      <c r="C5" s="18"/>
    </row>
    <row r="6" spans="1:3" x14ac:dyDescent="0.3">
      <c r="A6" s="16"/>
      <c r="B6" s="17"/>
      <c r="C6" s="18"/>
    </row>
    <row r="7" spans="1:3" x14ac:dyDescent="0.3">
      <c r="A7" s="16"/>
      <c r="B7" s="17"/>
      <c r="C7" s="18"/>
    </row>
    <row r="8" spans="1:3" x14ac:dyDescent="0.3">
      <c r="A8" s="16"/>
      <c r="B8" s="17"/>
      <c r="C8" s="18"/>
    </row>
    <row r="9" spans="1:3" x14ac:dyDescent="0.3">
      <c r="A9" s="16"/>
      <c r="B9" s="17"/>
      <c r="C9" s="18"/>
    </row>
    <row r="10" spans="1:3" x14ac:dyDescent="0.3">
      <c r="A10" s="16"/>
      <c r="B10" s="17"/>
      <c r="C10" s="18"/>
    </row>
    <row r="11" spans="1:3" x14ac:dyDescent="0.3">
      <c r="A11" s="16"/>
      <c r="B11" s="17"/>
      <c r="C11" s="18"/>
    </row>
    <row r="12" spans="1:3" x14ac:dyDescent="0.3">
      <c r="A12" s="16"/>
      <c r="B12" s="17"/>
      <c r="C12" s="18"/>
    </row>
    <row r="13" spans="1:3" x14ac:dyDescent="0.3">
      <c r="A13" s="16"/>
      <c r="B13" s="17"/>
      <c r="C13" s="18"/>
    </row>
    <row r="14" spans="1:3" x14ac:dyDescent="0.3">
      <c r="A14" s="16"/>
      <c r="B14" s="17"/>
      <c r="C14" s="18"/>
    </row>
    <row r="15" spans="1:3" x14ac:dyDescent="0.3">
      <c r="A15" s="16"/>
      <c r="B15" s="17"/>
      <c r="C15" s="18"/>
    </row>
    <row r="16" spans="1:3" x14ac:dyDescent="0.3">
      <c r="A16" s="16"/>
      <c r="B16" s="17"/>
      <c r="C16" s="18"/>
    </row>
    <row r="17" spans="1:3" x14ac:dyDescent="0.3">
      <c r="A17" s="16"/>
      <c r="B17" s="17"/>
      <c r="C17" s="18"/>
    </row>
    <row r="18" spans="1:3" x14ac:dyDescent="0.3">
      <c r="A18" s="16"/>
      <c r="B18" s="17"/>
      <c r="C18" s="18"/>
    </row>
    <row r="19" spans="1:3" x14ac:dyDescent="0.3">
      <c r="A19" s="16"/>
      <c r="B19" s="17"/>
      <c r="C19" s="18"/>
    </row>
    <row r="20" spans="1:3" x14ac:dyDescent="0.3">
      <c r="A20" s="19"/>
      <c r="B20" s="20"/>
      <c r="C2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CA1E-601D-411C-A2B1-DF81289306DF}">
  <dimension ref="A1:S11"/>
  <sheetViews>
    <sheetView zoomScale="68" workbookViewId="0">
      <selection activeCell="A2" sqref="A2:L8"/>
    </sheetView>
  </sheetViews>
  <sheetFormatPr defaultRowHeight="14.4" x14ac:dyDescent="0.3"/>
  <cols>
    <col min="1" max="1" width="15.88671875" customWidth="1"/>
    <col min="2" max="2" width="16.77734375" customWidth="1"/>
    <col min="3" max="3" width="21.109375" customWidth="1"/>
    <col min="4" max="4" width="14.5546875" customWidth="1"/>
    <col min="5" max="5" width="16.44140625" customWidth="1"/>
    <col min="6" max="6" width="17" customWidth="1"/>
    <col min="7" max="7" width="13" customWidth="1"/>
    <col min="8" max="8" width="13.5546875" customWidth="1"/>
    <col min="9" max="9" width="16" customWidth="1"/>
    <col min="10" max="10" width="16.33203125" customWidth="1"/>
    <col min="11" max="11" width="32.21875" customWidth="1"/>
    <col min="12" max="12" width="14.88671875" customWidth="1"/>
    <col min="18" max="18" width="17.5546875" customWidth="1"/>
    <col min="19" max="19" width="10.44140625" bestFit="1" customWidth="1"/>
  </cols>
  <sheetData>
    <row r="1" spans="1:19" x14ac:dyDescent="0.3">
      <c r="A1" s="4"/>
      <c r="B1" s="4"/>
      <c r="C1" s="4"/>
    </row>
    <row r="2" spans="1:19" x14ac:dyDescent="0.3">
      <c r="A2" s="1" t="s">
        <v>27</v>
      </c>
      <c r="B2" s="1" t="s">
        <v>26</v>
      </c>
      <c r="C2" s="1" t="s">
        <v>25</v>
      </c>
      <c r="D2" s="1" t="s">
        <v>24</v>
      </c>
      <c r="E2" s="1" t="s">
        <v>23</v>
      </c>
      <c r="F2" s="1" t="s">
        <v>22</v>
      </c>
      <c r="G2" s="1" t="s">
        <v>21</v>
      </c>
      <c r="H2" s="1" t="s">
        <v>20</v>
      </c>
      <c r="I2" s="1" t="s">
        <v>19</v>
      </c>
      <c r="J2" s="1" t="s">
        <v>18</v>
      </c>
      <c r="K2" s="1" t="s">
        <v>38</v>
      </c>
      <c r="L2" s="1" t="s">
        <v>54</v>
      </c>
      <c r="R2" s="1" t="s">
        <v>28</v>
      </c>
      <c r="S2" s="1" t="s">
        <v>29</v>
      </c>
    </row>
    <row r="3" spans="1:19" x14ac:dyDescent="0.3">
      <c r="B3" s="1"/>
      <c r="C3" s="3"/>
      <c r="R3" t="s">
        <v>30</v>
      </c>
      <c r="S3" s="5">
        <f>SUM(G4:G8)</f>
        <v>70800</v>
      </c>
    </row>
    <row r="4" spans="1:19" x14ac:dyDescent="0.3">
      <c r="A4" t="s">
        <v>17</v>
      </c>
      <c r="B4" s="2">
        <v>45292</v>
      </c>
      <c r="C4" t="s">
        <v>7</v>
      </c>
      <c r="D4" t="s">
        <v>16</v>
      </c>
      <c r="E4" t="s">
        <v>9</v>
      </c>
      <c r="F4" t="s">
        <v>0</v>
      </c>
      <c r="G4">
        <v>2000</v>
      </c>
      <c r="H4">
        <v>2</v>
      </c>
      <c r="I4">
        <v>10</v>
      </c>
      <c r="J4">
        <v>400</v>
      </c>
      <c r="K4" t="str">
        <f>VLOOKUP(C4, Customers!A:D, 4, FALSE)</f>
        <v>Premium</v>
      </c>
      <c r="L4" s="8">
        <f>J4/G4</f>
        <v>0.2</v>
      </c>
      <c r="R4" t="s">
        <v>31</v>
      </c>
      <c r="S4">
        <f>SUM(J4:J8)</f>
        <v>12300</v>
      </c>
    </row>
    <row r="5" spans="1:19" x14ac:dyDescent="0.3">
      <c r="A5" t="s">
        <v>15</v>
      </c>
      <c r="B5" s="2">
        <v>45293</v>
      </c>
      <c r="C5" t="s">
        <v>14</v>
      </c>
      <c r="D5" t="s">
        <v>13</v>
      </c>
      <c r="E5" t="s">
        <v>5</v>
      </c>
      <c r="F5" t="s">
        <v>0</v>
      </c>
      <c r="G5">
        <v>15000</v>
      </c>
      <c r="H5">
        <v>1</v>
      </c>
      <c r="I5">
        <v>5</v>
      </c>
      <c r="J5">
        <v>3000</v>
      </c>
      <c r="K5" t="str">
        <f>VLOOKUP(C5, Customers!A:D, 4, FALSE)</f>
        <v>Regular</v>
      </c>
      <c r="L5" s="8">
        <f t="shared" ref="L5:L8" si="0">J5/G5</f>
        <v>0.2</v>
      </c>
      <c r="R5" t="s">
        <v>32</v>
      </c>
      <c r="S5">
        <f>COUNTA(A4:A8)</f>
        <v>5</v>
      </c>
    </row>
    <row r="6" spans="1:19" x14ac:dyDescent="0.3">
      <c r="A6" t="s">
        <v>12</v>
      </c>
      <c r="B6" s="2">
        <v>45294</v>
      </c>
      <c r="C6" t="s">
        <v>11</v>
      </c>
      <c r="D6" t="s">
        <v>10</v>
      </c>
      <c r="E6" t="s">
        <v>9</v>
      </c>
      <c r="F6" t="s">
        <v>0</v>
      </c>
      <c r="G6">
        <v>800</v>
      </c>
      <c r="H6">
        <v>2</v>
      </c>
      <c r="I6">
        <v>15</v>
      </c>
      <c r="J6">
        <v>200</v>
      </c>
      <c r="K6" t="str">
        <f>VLOOKUP(C6, Customers!A:D, 4, FALSE)</f>
        <v>Regular</v>
      </c>
      <c r="L6" s="8">
        <f t="shared" si="0"/>
        <v>0.25</v>
      </c>
      <c r="R6" t="s">
        <v>33</v>
      </c>
      <c r="S6" s="5">
        <f>S3/S5</f>
        <v>14160</v>
      </c>
    </row>
    <row r="7" spans="1:19" x14ac:dyDescent="0.3">
      <c r="A7" t="s">
        <v>8</v>
      </c>
      <c r="B7" s="2">
        <v>45295</v>
      </c>
      <c r="C7" t="s">
        <v>7</v>
      </c>
      <c r="D7" t="s">
        <v>6</v>
      </c>
      <c r="E7" t="s">
        <v>5</v>
      </c>
      <c r="F7" t="s">
        <v>0</v>
      </c>
      <c r="G7">
        <v>50000</v>
      </c>
      <c r="H7">
        <v>1</v>
      </c>
      <c r="I7">
        <v>10</v>
      </c>
      <c r="J7">
        <v>8000</v>
      </c>
      <c r="K7" t="str">
        <f>VLOOKUP(C7, Customers!A:D, 4, FALSE)</f>
        <v>Premium</v>
      </c>
      <c r="L7" s="8">
        <f t="shared" si="0"/>
        <v>0.16</v>
      </c>
      <c r="R7" t="s">
        <v>64</v>
      </c>
      <c r="S7" s="8">
        <f>1/4</f>
        <v>0.25</v>
      </c>
    </row>
    <row r="8" spans="1:19" x14ac:dyDescent="0.3">
      <c r="A8" t="s">
        <v>4</v>
      </c>
      <c r="B8" s="2">
        <v>45296</v>
      </c>
      <c r="C8" t="s">
        <v>3</v>
      </c>
      <c r="D8" t="s">
        <v>2</v>
      </c>
      <c r="E8" t="s">
        <v>1</v>
      </c>
      <c r="F8" t="s">
        <v>0</v>
      </c>
      <c r="G8">
        <v>3000</v>
      </c>
      <c r="H8">
        <v>1</v>
      </c>
      <c r="I8">
        <v>20</v>
      </c>
      <c r="J8">
        <v>700</v>
      </c>
      <c r="K8" t="str">
        <f>VLOOKUP(C8, Customers!A:D, 4, FALSE)</f>
        <v>Premium</v>
      </c>
      <c r="L8" s="8">
        <f t="shared" si="0"/>
        <v>0.23333333333333334</v>
      </c>
    </row>
    <row r="9" spans="1:19" x14ac:dyDescent="0.3">
      <c r="B9" s="1"/>
      <c r="C9" s="1"/>
    </row>
    <row r="10" spans="1:19" x14ac:dyDescent="0.3">
      <c r="A10" s="1"/>
      <c r="B10" s="1"/>
      <c r="C10" s="1"/>
    </row>
    <row r="11" spans="1:19" x14ac:dyDescent="0.3">
      <c r="A11" s="1"/>
      <c r="B11" s="1"/>
      <c r="C1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6D57-0389-4DDE-A2D5-0EB6C3A05BA2}">
  <dimension ref="A1:D6"/>
  <sheetViews>
    <sheetView tabSelected="1" workbookViewId="0">
      <selection activeCell="E9" sqref="E9"/>
    </sheetView>
  </sheetViews>
  <sheetFormatPr defaultRowHeight="14.4" x14ac:dyDescent="0.3"/>
  <cols>
    <col min="1" max="1" width="20.44140625" customWidth="1"/>
    <col min="2" max="2" width="13.21875" customWidth="1"/>
    <col min="3" max="3" width="11.21875" customWidth="1"/>
  </cols>
  <sheetData>
    <row r="1" spans="1:4" x14ac:dyDescent="0.3">
      <c r="A1" t="s">
        <v>25</v>
      </c>
      <c r="B1" t="s">
        <v>39</v>
      </c>
      <c r="C1" t="s">
        <v>40</v>
      </c>
      <c r="D1" t="s">
        <v>38</v>
      </c>
    </row>
    <row r="3" spans="1:4" x14ac:dyDescent="0.3">
      <c r="A3" t="s">
        <v>7</v>
      </c>
      <c r="B3" s="2">
        <v>45261</v>
      </c>
      <c r="C3" t="s">
        <v>41</v>
      </c>
      <c r="D3" t="s">
        <v>44</v>
      </c>
    </row>
    <row r="4" spans="1:4" x14ac:dyDescent="0.3">
      <c r="A4" t="s">
        <v>14</v>
      </c>
      <c r="B4" s="2">
        <v>45265</v>
      </c>
      <c r="C4" t="s">
        <v>42</v>
      </c>
      <c r="D4" t="s">
        <v>45</v>
      </c>
    </row>
    <row r="5" spans="1:4" x14ac:dyDescent="0.3">
      <c r="A5" t="s">
        <v>11</v>
      </c>
      <c r="B5" s="2">
        <v>45270</v>
      </c>
      <c r="C5" t="s">
        <v>43</v>
      </c>
      <c r="D5" t="s">
        <v>45</v>
      </c>
    </row>
    <row r="6" spans="1:4" x14ac:dyDescent="0.3">
      <c r="A6" t="s">
        <v>3</v>
      </c>
      <c r="B6" s="2">
        <v>45275</v>
      </c>
      <c r="C6" t="s">
        <v>41</v>
      </c>
      <c r="D6" t="s">
        <v>44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E777-3234-4BDD-BBB3-0CD5E25FA215}">
  <dimension ref="A1:F7"/>
  <sheetViews>
    <sheetView zoomScale="173" workbookViewId="0">
      <selection activeCell="F9" sqref="F9"/>
    </sheetView>
  </sheetViews>
  <sheetFormatPr defaultRowHeight="14.4" x14ac:dyDescent="0.3"/>
  <cols>
    <col min="1" max="1" width="10.33203125" bestFit="1" customWidth="1"/>
    <col min="3" max="3" width="12.77734375" customWidth="1"/>
    <col min="4" max="4" width="16" customWidth="1"/>
    <col min="5" max="5" width="15.21875" customWidth="1"/>
    <col min="6" max="6" width="19.33203125" customWidth="1"/>
  </cols>
  <sheetData>
    <row r="1" spans="1:6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3" spans="1:6" x14ac:dyDescent="0.3">
      <c r="A3" s="2">
        <v>45292</v>
      </c>
      <c r="B3">
        <v>1000</v>
      </c>
      <c r="C3">
        <v>2500</v>
      </c>
      <c r="D3">
        <v>55</v>
      </c>
      <c r="E3">
        <v>40</v>
      </c>
      <c r="F3" s="8">
        <f>E3/B3</f>
        <v>0.04</v>
      </c>
    </row>
    <row r="4" spans="1:6" x14ac:dyDescent="0.3">
      <c r="A4" s="2">
        <v>45293</v>
      </c>
      <c r="B4">
        <v>1200</v>
      </c>
      <c r="C4">
        <v>3000</v>
      </c>
      <c r="D4">
        <v>60</v>
      </c>
      <c r="E4">
        <v>50</v>
      </c>
      <c r="F4" s="8">
        <f t="shared" ref="F4:F7" si="0">E4/B4</f>
        <v>4.1666666666666664E-2</v>
      </c>
    </row>
    <row r="5" spans="1:6" x14ac:dyDescent="0.3">
      <c r="A5" s="2">
        <v>45294</v>
      </c>
      <c r="B5">
        <v>900</v>
      </c>
      <c r="C5">
        <v>2000</v>
      </c>
      <c r="D5">
        <v>65</v>
      </c>
      <c r="E5">
        <v>30</v>
      </c>
      <c r="F5" s="8">
        <f t="shared" si="0"/>
        <v>3.3333333333333333E-2</v>
      </c>
    </row>
    <row r="6" spans="1:6" x14ac:dyDescent="0.3">
      <c r="A6" s="2">
        <v>45295</v>
      </c>
      <c r="B6">
        <v>1500</v>
      </c>
      <c r="C6">
        <v>3500</v>
      </c>
      <c r="D6">
        <v>50</v>
      </c>
      <c r="E6">
        <v>70</v>
      </c>
      <c r="F6" s="8">
        <f t="shared" si="0"/>
        <v>4.6666666666666669E-2</v>
      </c>
    </row>
    <row r="7" spans="1:6" x14ac:dyDescent="0.3">
      <c r="A7" s="2">
        <v>45296</v>
      </c>
      <c r="B7">
        <v>1100</v>
      </c>
      <c r="C7">
        <v>2700</v>
      </c>
      <c r="D7">
        <v>58</v>
      </c>
      <c r="E7">
        <v>45</v>
      </c>
      <c r="F7" s="8">
        <f t="shared" si="0"/>
        <v>4.0909090909090909E-2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 spent</vt:lpstr>
      <vt:lpstr>segment spent</vt:lpstr>
      <vt:lpstr>Dates sales</vt:lpstr>
      <vt:lpstr>impact of dis on profit</vt:lpstr>
      <vt:lpstr>Low performing products</vt:lpstr>
      <vt:lpstr>Retention</vt:lpstr>
      <vt:lpstr>Sheet1</vt:lpstr>
      <vt:lpstr>orders</vt:lpstr>
      <vt:lpstr>Customers</vt:lpstr>
      <vt:lpstr>Website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singh</dc:creator>
  <cp:lastModifiedBy>Yashika singh</cp:lastModifiedBy>
  <dcterms:created xsi:type="dcterms:W3CDTF">2026-03-27T16:48:19Z</dcterms:created>
  <dcterms:modified xsi:type="dcterms:W3CDTF">2026-04-06T02:15:12Z</dcterms:modified>
</cp:coreProperties>
</file>